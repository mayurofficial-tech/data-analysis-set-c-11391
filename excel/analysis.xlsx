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b099c820731260/Desktop/Exam3/excel/"/>
    </mc:Choice>
  </mc:AlternateContent>
  <xr:revisionPtr revIDLastSave="10" documentId="8_{21675EFE-1575-466E-9C49-4F4B428CD08B}" xr6:coauthVersionLast="47" xr6:coauthVersionMax="47" xr10:uidLastSave="{F2A4DCF1-6B36-4FDA-A950-E5E72E85D317}"/>
  <bookViews>
    <workbookView xWindow="-120" yWindow="-120" windowWidth="29040" windowHeight="15720" activeTab="3" xr2:uid="{D6CBC232-2E19-4112-B7B3-837678D08FB3}"/>
  </bookViews>
  <sheets>
    <sheet name="Raw sheet" sheetId="1" r:id="rId1"/>
    <sheet name="Lookup  Sheet" sheetId="2" r:id="rId2"/>
    <sheet name="Clean  Sheet" sheetId="3" r:id="rId3"/>
    <sheet name="Summary sheet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H2" i="1"/>
  <c r="B3" i="4"/>
  <c r="B4" i="4"/>
  <c r="B2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  <c r="K1" i="3"/>
  <c r="K2" i="3"/>
  <c r="K3" i="3" l="1"/>
</calcChain>
</file>

<file path=xl/sharedStrings.xml><?xml version="1.0" encoding="utf-8"?>
<sst xmlns="http://schemas.openxmlformats.org/spreadsheetml/2006/main" count="125" uniqueCount="36">
  <si>
    <t>assessment_id</t>
  </si>
  <si>
    <t>month</t>
  </si>
  <si>
    <t>course_id</t>
  </si>
  <si>
    <t>batch</t>
  </si>
  <si>
    <t>score</t>
  </si>
  <si>
    <t>attendance_pct</t>
  </si>
  <si>
    <t>Jan</t>
  </si>
  <si>
    <t>C1</t>
  </si>
  <si>
    <t>Morning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</si>
  <si>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</si>
  <si>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</si>
  <si>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</si>
  <si>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</si>
  <si>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</si>
  <si>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</si>
  <si>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</si>
  <si>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</si>
  <si>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</si>
  <si>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</si>
  <si>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</si>
  <si>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</si>
  <si>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</si>
  <si>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</si>
  <si>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</si>
  <si>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Total recoeds</t>
  </si>
  <si>
    <t>After recodes</t>
  </si>
  <si>
    <t>Before recodes</t>
  </si>
  <si>
    <t>Total Dupli Removed</t>
  </si>
  <si>
    <t>Pass_flag</t>
  </si>
  <si>
    <t>pass count</t>
  </si>
  <si>
    <t>Row Labels</t>
  </si>
  <si>
    <t>Grand Total</t>
  </si>
  <si>
    <t>Column Labels</t>
  </si>
  <si>
    <t>Average of score</t>
  </si>
  <si>
    <t>Duplicate</t>
  </si>
  <si>
    <t>After Dupli Total 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</si>
</sst>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0" xfId="0" applyFont="1" applyFill="1" applyBorder="1"/>
    <xf numFmtId="1" fontId="1" fillId="2" borderId="4" xfId="0" applyNumberFormat="1" applyFont="1" applyFill="1" applyBorder="1"/>
    <xf numFmtId="1" fontId="0" fillId="3" borderId="4" xfId="0" applyNumberFormat="1" applyFont="1" applyFill="1" applyBorder="1"/>
    <xf numFmtId="1" fontId="0" fillId="0" borderId="4" xfId="0" applyNumberFormat="1" applyFont="1" applyBorder="1"/>
    <xf numFmtId="1" fontId="0" fillId="0" borderId="0" xfId="0" applyNumberFormat="1"/>
    <xf numFmtId="49" fontId="1" fillId="2" borderId="5" xfId="0" applyNumberFormat="1" applyFont="1" applyFill="1" applyBorder="1"/>
    <xf numFmtId="49" fontId="0" fillId="3" borderId="5" xfId="0" applyNumberFormat="1" applyFont="1" applyFill="1" applyBorder="1"/>
    <xf numFmtId="49" fontId="0" fillId="0" borderId="5" xfId="0" applyNumberFormat="1" applyFont="1" applyBorder="1"/>
    <xf numFmtId="49" fontId="0" fillId="0" borderId="0" xfId="0" applyNumberFormat="1"/>
    <xf numFmtId="1" fontId="1" fillId="2" borderId="5" xfId="0" applyNumberFormat="1" applyFont="1" applyFill="1" applyBorder="1"/>
    <xf numFmtId="1" fontId="0" fillId="3" borderId="5" xfId="0" applyNumberFormat="1" applyFont="1" applyFill="1" applyBorder="1"/>
    <xf numFmtId="1" fontId="0" fillId="0" borderId="5" xfId="0" applyNumberFormat="1" applyFont="1" applyBorder="1"/>
    <xf numFmtId="49" fontId="1" fillId="2" borderId="0" xfId="0" applyNumberFormat="1" applyFont="1" applyFill="1" applyBorder="1"/>
    <xf numFmtId="49" fontId="1" fillId="2" borderId="7" xfId="0" applyNumberFormat="1" applyFont="1" applyFill="1" applyBorder="1"/>
    <xf numFmtId="1" fontId="0" fillId="0" borderId="1" xfId="0" applyNumberFormat="1" applyFont="1" applyBorder="1"/>
    <xf numFmtId="49" fontId="0" fillId="0" borderId="2" xfId="0" applyNumberFormat="1" applyFont="1" applyBorder="1"/>
    <xf numFmtId="1" fontId="0" fillId="0" borderId="2" xfId="0" applyNumberFormat="1" applyFont="1" applyBorder="1"/>
    <xf numFmtId="49" fontId="1" fillId="2" borderId="4" xfId="0" applyNumberFormat="1" applyFont="1" applyFill="1" applyBorder="1"/>
    <xf numFmtId="49" fontId="0" fillId="3" borderId="4" xfId="0" applyNumberFormat="1" applyFont="1" applyFill="1" applyBorder="1"/>
    <xf numFmtId="0" fontId="0" fillId="3" borderId="7" xfId="0" applyFont="1" applyFill="1" applyBorder="1"/>
    <xf numFmtId="49" fontId="0" fillId="0" borderId="4" xfId="0" applyNumberFormat="1" applyFont="1" applyBorder="1"/>
    <xf numFmtId="0" fontId="0" fillId="0" borderId="7" xfId="0" applyFont="1" applyBorder="1"/>
    <xf numFmtId="49" fontId="0" fillId="0" borderId="1" xfId="0" applyNumberFormat="1" applyFont="1" applyBorder="1"/>
    <xf numFmtId="0" fontId="0" fillId="0" borderId="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1"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 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score by month and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sheet'!$F$1:$F$2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sheet'!$E$3:$E$5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'Summary sheet'!$F$3:$F$5</c:f>
              <c:numCache>
                <c:formatCode>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C-4ED0-8CD9-0E5C62B8C895}"/>
            </c:ext>
          </c:extLst>
        </c:ser>
        <c:ser>
          <c:idx val="1"/>
          <c:order val="1"/>
          <c:tx>
            <c:strRef>
              <c:f>'Summary sheet'!$G$1:$G$2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sheet'!$E$3:$E$5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'Summary sheet'!$G$3:$G$5</c:f>
              <c:numCache>
                <c:formatCode>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2C-4ED0-8CD9-0E5C62B8C895}"/>
            </c:ext>
          </c:extLst>
        </c:ser>
        <c:ser>
          <c:idx val="2"/>
          <c:order val="2"/>
          <c:tx>
            <c:strRef>
              <c:f>'Summary sheet'!$H$1:$H$2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sheet'!$E$3:$E$5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'Summary sheet'!$H$3:$H$5</c:f>
              <c:numCache>
                <c:formatCode>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2C-4ED0-8CD9-0E5C62B8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590608"/>
        <c:axId val="1558432464"/>
      </c:barChart>
      <c:catAx>
        <c:axId val="147159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 and 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32464"/>
        <c:crosses val="autoZero"/>
        <c:auto val="1"/>
        <c:lblAlgn val="ctr"/>
        <c:lblOffset val="100"/>
        <c:noMultiLvlLbl val="0"/>
      </c:catAx>
      <c:valAx>
        <c:axId val="15584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9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352431</xdr:colOff>
      <xdr:row>7</xdr:row>
      <xdr:rowOff>57149</xdr:rowOff>
    </xdr:from>
    <xdr:to>
      <xdr:col>7</xdr:col>
      <xdr:colOff>238125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C4733-F343-0EA4-7F8C-95155976E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UR MAKVANA" refreshedDate="46305.454158333334" createdVersion="8" refreshedVersion="8" minRefreshableVersion="3" recordCount="12" xr:uid="{5FF1C970-F0E5-4AD5-8931-DB632FB210AC}">
  <cacheSource type="worksheet">
    <worksheetSource ref="A1:H13" sheet="Clean  Sheet"/>
  </cacheSource>
  <cacheFields count="8">
    <cacheField name="assessment_id" numFmtId="1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course_id" numFmtId="49">
      <sharedItems/>
    </cacheField>
    <cacheField name="batch" numFmtId="49">
      <sharedItems/>
    </cacheField>
    <cacheField name="score" numFmtId="1">
      <sharedItems containsSemiMixedTypes="0" containsString="0" containsNumber="1" containsInteger="1" minValue="38" maxValue="90"/>
    </cacheField>
    <cacheField name="attendance_pct" numFmtId="1">
      <sharedItems containsSemiMixedTypes="0" containsString="0" containsNumber="1" containsInteger="1" minValue="60" maxValue="98"/>
    </cacheField>
    <cacheField name="department" numFmtId="49">
      <sharedItems count="2">
        <s v="Business"/>
        <s v="Technology"/>
      </sharedItems>
    </cacheField>
    <cacheField name="Pass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  <n v="1"/>
  </r>
  <r>
    <n v="2"/>
    <x v="0"/>
    <s v="C2"/>
    <s v="Evening"/>
    <n v="45"/>
    <n v="70"/>
    <x v="0"/>
    <n v="0"/>
  </r>
  <r>
    <n v="3"/>
    <x v="0"/>
    <s v="C3"/>
    <s v="Morning"/>
    <n v="65"/>
    <n v="85"/>
    <x v="1"/>
    <n v="1"/>
  </r>
  <r>
    <n v="4"/>
    <x v="0"/>
    <s v="C4"/>
    <s v="Weekend"/>
    <n v="38"/>
    <n v="60"/>
    <x v="1"/>
    <n v="0"/>
  </r>
  <r>
    <n v="5"/>
    <x v="1"/>
    <s v="C1"/>
    <s v="Evening"/>
    <n v="80"/>
    <n v="95"/>
    <x v="0"/>
    <n v="1"/>
  </r>
  <r>
    <n v="6"/>
    <x v="1"/>
    <s v="C2"/>
    <s v="Weekend"/>
    <n v="55"/>
    <n v="80"/>
    <x v="0"/>
    <n v="1"/>
  </r>
  <r>
    <n v="7"/>
    <x v="1"/>
    <s v="C3"/>
    <s v="Morning"/>
    <n v="48"/>
    <n v="75"/>
    <x v="1"/>
    <n v="0"/>
  </r>
  <r>
    <n v="8"/>
    <x v="1"/>
    <s v="C4"/>
    <s v="Evening"/>
    <n v="68"/>
    <n v="88"/>
    <x v="1"/>
    <n v="1"/>
  </r>
  <r>
    <n v="9"/>
    <x v="2"/>
    <s v="C1"/>
    <s v="Weekend"/>
    <n v="90"/>
    <n v="98"/>
    <x v="0"/>
    <n v="1"/>
  </r>
  <r>
    <n v="10"/>
    <x v="2"/>
    <s v="C2"/>
    <s v="Morning"/>
    <n v="60"/>
    <n v="82"/>
    <x v="0"/>
    <n v="1"/>
  </r>
  <r>
    <n v="11"/>
    <x v="2"/>
    <s v="C3"/>
    <s v="Evening"/>
    <n v="75"/>
    <n v="92"/>
    <x v="1"/>
    <n v="1"/>
  </r>
  <r>
    <n v="12"/>
    <x v="2"/>
    <s v="C4"/>
    <s v="Weekend"/>
    <n v="42"/>
    <n v="6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605FF-410F-43D4-8C84-5BE80B12D54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:I5" firstHeaderRow="1" firstDataRow="2" firstDataCol="1"/>
  <pivotFields count="8">
    <pivotField numFmtI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numFmtId="1" showAll="0"/>
    <pivotField numFmtId="1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score" fld="4" subtotal="average" baseField="6" baseItem="0" numFmtId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8B9D8E-EC54-4F35-BDC6-6B3877F90FC9}" name="Table6" displayName="Table6" ref="A1:B4" totalsRowShown="0" tableBorderDxfId="0">
  <autoFilter ref="A1:B4" xr:uid="{D88B9D8E-EC54-4F35-BDC6-6B3877F90FC9}"/>
  <tableColumns count="2">
    <tableColumn id="1" xr3:uid="{C1FD14F0-56DF-48FC-A896-4F928BAEF3A3}" name="batch"/>
    <tableColumn id="2" xr3:uid="{91D7364C-86F9-49B6-8C8E-73E4DB9FD675}" name="pass count">
      <calculatedColumnFormula>COUNTIFS('Clean  Sheet'!$D$2:$D$13,'Summary sheet'!A2,'Clean  Sheet'!$H$2:$H$13,1)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6692-3C58-4064-BC03-8DB62D9447D6}">
  <dimension ref="A1:J14"/>
  <sheetViews>
    <sheetView workbookViewId="0">
      <selection activeCell="L15" sqref="L15"/>
    </sheetView>
  </sheetViews>
  <sheetFormatPr defaultRowHeight="15" x14ac:dyDescent="0.25"/>
  <cols>
    <col min="1" max="1" width="16.140625" customWidth="1"/>
    <col min="2" max="2" width="9" customWidth="1"/>
    <col min="3" max="3" width="11.7109375" customWidth="1"/>
    <col min="4" max="4" width="9.5703125" bestFit="1" customWidth="1"/>
    <col min="5" max="5" width="7.85546875" customWidth="1"/>
    <col min="6" max="6" width="16.85546875" customWidth="1"/>
    <col min="8" max="8" width="12.85546875" bestFit="1" customWidth="1"/>
    <col min="9" max="9" width="9.42578125" bestFit="1" customWidth="1"/>
    <col min="10" max="10" width="23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H1" s="13" t="s">
        <v>24</v>
      </c>
      <c r="I1" s="13" t="s">
        <v>34</v>
      </c>
      <c r="J1" s="13" t="s">
        <v>35</v>
      </c>
    </row>
    <row r="2" spans="1:10" x14ac:dyDescent="0.25">
      <c r="A2" s="7">
        <v>1</v>
      </c>
      <c r="B2" s="8" t="s">
        <v>6</v>
      </c>
      <c r="C2" s="8" t="s">
        <v>7</v>
      </c>
      <c r="D2" s="8" t="s">
        <v>8</v>
      </c>
      <c r="E2" s="8">
        <v>72</v>
      </c>
      <c r="F2" s="9">
        <v>90</v>
      </c>
      <c r="H2">
        <f>COUNT(A2:A14)</f>
        <v>13</v>
      </c>
      <c r="I2">
        <v>1</v>
      </c>
      <c r="J2">
        <f>H2-I2</f>
        <v>12</v>
      </c>
    </row>
    <row r="3" spans="1:10" x14ac:dyDescent="0.25">
      <c r="A3" s="10">
        <v>2</v>
      </c>
      <c r="B3" s="11" t="s">
        <v>6</v>
      </c>
      <c r="C3" s="11" t="s">
        <v>9</v>
      </c>
      <c r="D3" s="11" t="s">
        <v>10</v>
      </c>
      <c r="E3" s="11">
        <v>45</v>
      </c>
      <c r="F3" s="12">
        <v>70</v>
      </c>
    </row>
    <row r="4" spans="1:10" x14ac:dyDescent="0.25">
      <c r="A4" s="7">
        <v>3</v>
      </c>
      <c r="B4" s="8" t="s">
        <v>6</v>
      </c>
      <c r="C4" s="8" t="s">
        <v>11</v>
      </c>
      <c r="D4" s="8" t="s">
        <v>8</v>
      </c>
      <c r="E4" s="8">
        <v>65</v>
      </c>
      <c r="F4" s="9">
        <v>85</v>
      </c>
    </row>
    <row r="5" spans="1:10" x14ac:dyDescent="0.25">
      <c r="A5" s="10">
        <v>4</v>
      </c>
      <c r="B5" s="11" t="s">
        <v>6</v>
      </c>
      <c r="C5" s="11" t="s">
        <v>12</v>
      </c>
      <c r="D5" s="11" t="s">
        <v>13</v>
      </c>
      <c r="E5" s="11">
        <v>38</v>
      </c>
      <c r="F5" s="12">
        <v>60</v>
      </c>
    </row>
    <row r="6" spans="1:10" x14ac:dyDescent="0.25">
      <c r="A6" s="7">
        <v>5</v>
      </c>
      <c r="B6" s="8" t="s">
        <v>14</v>
      </c>
      <c r="C6" s="8" t="s">
        <v>7</v>
      </c>
      <c r="D6" s="8" t="s">
        <v>10</v>
      </c>
      <c r="E6" s="8">
        <v>80</v>
      </c>
      <c r="F6" s="9">
        <v>95</v>
      </c>
    </row>
    <row r="7" spans="1:10" x14ac:dyDescent="0.25">
      <c r="A7" s="10">
        <v>6</v>
      </c>
      <c r="B7" s="11" t="s">
        <v>14</v>
      </c>
      <c r="C7" s="11" t="s">
        <v>9</v>
      </c>
      <c r="D7" s="11" t="s">
        <v>13</v>
      </c>
      <c r="E7" s="11">
        <v>55</v>
      </c>
      <c r="F7" s="12">
        <v>80</v>
      </c>
    </row>
    <row r="8" spans="1:10" x14ac:dyDescent="0.25">
      <c r="A8" s="7">
        <v>7</v>
      </c>
      <c r="B8" s="8" t="s">
        <v>14</v>
      </c>
      <c r="C8" s="8" t="s">
        <v>11</v>
      </c>
      <c r="D8" s="8" t="s">
        <v>8</v>
      </c>
      <c r="E8" s="8">
        <v>48</v>
      </c>
      <c r="F8" s="9">
        <v>75</v>
      </c>
    </row>
    <row r="9" spans="1:10" x14ac:dyDescent="0.25">
      <c r="A9" s="10">
        <v>8</v>
      </c>
      <c r="B9" s="11" t="s">
        <v>14</v>
      </c>
      <c r="C9" s="11" t="s">
        <v>12</v>
      </c>
      <c r="D9" s="11" t="s">
        <v>10</v>
      </c>
      <c r="E9" s="11">
        <v>68</v>
      </c>
      <c r="F9" s="12">
        <v>88</v>
      </c>
    </row>
    <row r="10" spans="1:10" x14ac:dyDescent="0.25">
      <c r="A10" s="7">
        <v>9</v>
      </c>
      <c r="B10" s="8" t="s">
        <v>15</v>
      </c>
      <c r="C10" s="8" t="s">
        <v>7</v>
      </c>
      <c r="D10" s="8" t="s">
        <v>13</v>
      </c>
      <c r="E10" s="8">
        <v>90</v>
      </c>
      <c r="F10" s="9">
        <v>98</v>
      </c>
    </row>
    <row r="11" spans="1:10" x14ac:dyDescent="0.25">
      <c r="A11" s="10">
        <v>10</v>
      </c>
      <c r="B11" s="11" t="s">
        <v>15</v>
      </c>
      <c r="C11" s="11" t="s">
        <v>9</v>
      </c>
      <c r="D11" s="11" t="s">
        <v>8</v>
      </c>
      <c r="E11" s="11">
        <v>60</v>
      </c>
      <c r="F11" s="12">
        <v>82</v>
      </c>
    </row>
    <row r="12" spans="1:10" x14ac:dyDescent="0.25">
      <c r="A12" s="7">
        <v>11</v>
      </c>
      <c r="B12" s="8" t="s">
        <v>15</v>
      </c>
      <c r="C12" s="8" t="s">
        <v>11</v>
      </c>
      <c r="D12" s="8" t="s">
        <v>10</v>
      </c>
      <c r="E12" s="8">
        <v>75</v>
      </c>
      <c r="F12" s="9">
        <v>92</v>
      </c>
    </row>
    <row r="13" spans="1:10" x14ac:dyDescent="0.25">
      <c r="A13" s="10">
        <v>12</v>
      </c>
      <c r="B13" s="11" t="s">
        <v>15</v>
      </c>
      <c r="C13" s="11" t="s">
        <v>12</v>
      </c>
      <c r="D13" s="11" t="s">
        <v>13</v>
      </c>
      <c r="E13" s="11">
        <v>42</v>
      </c>
      <c r="F13" s="12">
        <v>65</v>
      </c>
    </row>
    <row r="14" spans="1:10" x14ac:dyDescent="0.25">
      <c r="A14" s="1">
        <v>12</v>
      </c>
      <c r="B14" s="2" t="s">
        <v>15</v>
      </c>
      <c r="C14" s="2" t="s">
        <v>12</v>
      </c>
      <c r="D14" s="2" t="s">
        <v>13</v>
      </c>
      <c r="E14" s="2">
        <v>42</v>
      </c>
      <c r="F14" s="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8F9F-BE9D-443C-BD5E-611E8FAE1C43}">
  <dimension ref="A1:C5"/>
  <sheetViews>
    <sheetView workbookViewId="0">
      <selection activeCell="D12" sqref="D12"/>
    </sheetView>
  </sheetViews>
  <sheetFormatPr defaultRowHeight="15" x14ac:dyDescent="0.25"/>
  <cols>
    <col min="1" max="1" width="11.7109375" customWidth="1"/>
    <col min="2" max="2" width="11" customWidth="1"/>
    <col min="3" max="3" width="13.7109375" customWidth="1"/>
  </cols>
  <sheetData>
    <row r="1" spans="1:3" x14ac:dyDescent="0.25">
      <c r="A1" s="39" t="s">
        <v>2</v>
      </c>
      <c r="B1" s="40" t="s">
        <v>16</v>
      </c>
      <c r="C1" s="41" t="s">
        <v>17</v>
      </c>
    </row>
    <row r="2" spans="1:3" x14ac:dyDescent="0.25">
      <c r="A2" s="7" t="s">
        <v>7</v>
      </c>
      <c r="B2" s="8" t="s">
        <v>18</v>
      </c>
      <c r="C2" s="9" t="s">
        <v>19</v>
      </c>
    </row>
    <row r="3" spans="1:3" x14ac:dyDescent="0.25">
      <c r="A3" s="7" t="s">
        <v>9</v>
      </c>
      <c r="B3" s="8" t="s">
        <v>20</v>
      </c>
      <c r="C3" s="9" t="s">
        <v>19</v>
      </c>
    </row>
    <row r="4" spans="1:3" x14ac:dyDescent="0.25">
      <c r="A4" s="7" t="s">
        <v>11</v>
      </c>
      <c r="B4" s="8" t="s">
        <v>21</v>
      </c>
      <c r="C4" s="9" t="s">
        <v>22</v>
      </c>
    </row>
    <row r="5" spans="1:3" x14ac:dyDescent="0.25">
      <c r="A5" s="1" t="s">
        <v>12</v>
      </c>
      <c r="B5" s="2" t="s">
        <v>23</v>
      </c>
      <c r="C5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DB54-2BC3-4C47-ACC2-2B09BDA47032}">
  <dimension ref="A1:K13"/>
  <sheetViews>
    <sheetView workbookViewId="0">
      <selection activeCell="J1" sqref="J1:J3"/>
    </sheetView>
  </sheetViews>
  <sheetFormatPr defaultRowHeight="15" x14ac:dyDescent="0.25"/>
  <cols>
    <col min="1" max="1" width="16.140625" style="17" customWidth="1"/>
    <col min="2" max="2" width="9" style="21" customWidth="1"/>
    <col min="3" max="3" width="11.7109375" style="21" customWidth="1"/>
    <col min="4" max="4" width="9.5703125" style="21" bestFit="1" customWidth="1"/>
    <col min="5" max="5" width="7.85546875" style="17" customWidth="1"/>
    <col min="6" max="6" width="16.85546875" style="17" customWidth="1"/>
    <col min="7" max="7" width="13.7109375" style="21" customWidth="1"/>
    <col min="8" max="8" width="9.140625" bestFit="1" customWidth="1"/>
    <col min="10" max="10" width="19.7109375" bestFit="1" customWidth="1"/>
  </cols>
  <sheetData>
    <row r="1" spans="1:11" x14ac:dyDescent="0.25">
      <c r="A1" s="14" t="s">
        <v>0</v>
      </c>
      <c r="B1" s="18" t="s">
        <v>1</v>
      </c>
      <c r="C1" s="18" t="s">
        <v>2</v>
      </c>
      <c r="D1" s="18" t="s">
        <v>3</v>
      </c>
      <c r="E1" s="22" t="s">
        <v>4</v>
      </c>
      <c r="F1" s="22" t="s">
        <v>5</v>
      </c>
      <c r="G1" s="30" t="s">
        <v>17</v>
      </c>
      <c r="H1" s="26" t="s">
        <v>28</v>
      </c>
      <c r="J1" s="13" t="s">
        <v>26</v>
      </c>
      <c r="K1">
        <f>COUNT('Raw sheet'!A2:A14)</f>
        <v>13</v>
      </c>
    </row>
    <row r="2" spans="1:11" x14ac:dyDescent="0.25">
      <c r="A2" s="15">
        <v>1</v>
      </c>
      <c r="B2" s="19" t="s">
        <v>6</v>
      </c>
      <c r="C2" s="19" t="s">
        <v>7</v>
      </c>
      <c r="D2" s="19" t="s">
        <v>8</v>
      </c>
      <c r="E2" s="23">
        <v>72</v>
      </c>
      <c r="F2" s="23">
        <v>90</v>
      </c>
      <c r="G2" s="31" t="str">
        <f>_xlfn.XLOOKUP(C2,'Lookup  Sheet'!$A$2:$A$5,'Lookup  Sheet'!$C$2:$C$5,"not Found")</f>
        <v>Business</v>
      </c>
      <c r="H2" s="32">
        <f>IF(E2&gt;=50,1,0)</f>
        <v>1</v>
      </c>
      <c r="J2" s="13" t="s">
        <v>25</v>
      </c>
      <c r="K2">
        <f>COUNT(A2:A13)</f>
        <v>12</v>
      </c>
    </row>
    <row r="3" spans="1:11" x14ac:dyDescent="0.25">
      <c r="A3" s="16">
        <v>2</v>
      </c>
      <c r="B3" s="20" t="s">
        <v>6</v>
      </c>
      <c r="C3" s="20" t="s">
        <v>9</v>
      </c>
      <c r="D3" s="20" t="s">
        <v>10</v>
      </c>
      <c r="E3" s="24">
        <v>45</v>
      </c>
      <c r="F3" s="24">
        <v>70</v>
      </c>
      <c r="G3" s="33" t="str">
        <f>_xlfn.XLOOKUP(C3,'Lookup  Sheet'!$A$2:$A$5,'Lookup  Sheet'!$C$2:$C$5,"not Found")</f>
        <v>Business</v>
      </c>
      <c r="H3" s="34">
        <f t="shared" ref="H3:H13" si="0">IF(E3&gt;=50,1,0)</f>
        <v>0</v>
      </c>
      <c r="J3" s="13" t="s">
        <v>27</v>
      </c>
      <c r="K3">
        <f>K1-K2</f>
        <v>1</v>
      </c>
    </row>
    <row r="4" spans="1:11" x14ac:dyDescent="0.25">
      <c r="A4" s="15">
        <v>3</v>
      </c>
      <c r="B4" s="19" t="s">
        <v>6</v>
      </c>
      <c r="C4" s="19" t="s">
        <v>11</v>
      </c>
      <c r="D4" s="19" t="s">
        <v>8</v>
      </c>
      <c r="E4" s="23">
        <v>65</v>
      </c>
      <c r="F4" s="23">
        <v>85</v>
      </c>
      <c r="G4" s="31" t="str">
        <f>_xlfn.XLOOKUP(C4,'Lookup  Sheet'!$A$2:$A$5,'Lookup  Sheet'!$C$2:$C$5,"not Found")</f>
        <v>Technology</v>
      </c>
      <c r="H4" s="32">
        <f t="shared" si="0"/>
        <v>1</v>
      </c>
    </row>
    <row r="5" spans="1:11" x14ac:dyDescent="0.25">
      <c r="A5" s="16">
        <v>4</v>
      </c>
      <c r="B5" s="20" t="s">
        <v>6</v>
      </c>
      <c r="C5" s="20" t="s">
        <v>12</v>
      </c>
      <c r="D5" s="20" t="s">
        <v>13</v>
      </c>
      <c r="E5" s="24">
        <v>38</v>
      </c>
      <c r="F5" s="24">
        <v>60</v>
      </c>
      <c r="G5" s="33" t="str">
        <f>_xlfn.XLOOKUP(C5,'Lookup  Sheet'!$A$2:$A$5,'Lookup  Sheet'!$C$2:$C$5,"not Found")</f>
        <v>Technology</v>
      </c>
      <c r="H5" s="34">
        <f t="shared" si="0"/>
        <v>0</v>
      </c>
    </row>
    <row r="6" spans="1:11" x14ac:dyDescent="0.25">
      <c r="A6" s="15">
        <v>5</v>
      </c>
      <c r="B6" s="19" t="s">
        <v>14</v>
      </c>
      <c r="C6" s="19" t="s">
        <v>7</v>
      </c>
      <c r="D6" s="19" t="s">
        <v>10</v>
      </c>
      <c r="E6" s="23">
        <v>80</v>
      </c>
      <c r="F6" s="23">
        <v>95</v>
      </c>
      <c r="G6" s="31" t="str">
        <f>_xlfn.XLOOKUP(C6,'Lookup  Sheet'!$A$2:$A$5,'Lookup  Sheet'!$C$2:$C$5,"not Found")</f>
        <v>Business</v>
      </c>
      <c r="H6" s="32">
        <f t="shared" si="0"/>
        <v>1</v>
      </c>
    </row>
    <row r="7" spans="1:11" x14ac:dyDescent="0.25">
      <c r="A7" s="16">
        <v>6</v>
      </c>
      <c r="B7" s="20" t="s">
        <v>14</v>
      </c>
      <c r="C7" s="20" t="s">
        <v>9</v>
      </c>
      <c r="D7" s="20" t="s">
        <v>13</v>
      </c>
      <c r="E7" s="24">
        <v>55</v>
      </c>
      <c r="F7" s="24">
        <v>80</v>
      </c>
      <c r="G7" s="33" t="str">
        <f>_xlfn.XLOOKUP(C7,'Lookup  Sheet'!$A$2:$A$5,'Lookup  Sheet'!$C$2:$C$5,"not Found")</f>
        <v>Business</v>
      </c>
      <c r="H7" s="34">
        <f t="shared" si="0"/>
        <v>1</v>
      </c>
    </row>
    <row r="8" spans="1:11" x14ac:dyDescent="0.25">
      <c r="A8" s="15">
        <v>7</v>
      </c>
      <c r="B8" s="19" t="s">
        <v>14</v>
      </c>
      <c r="C8" s="19" t="s">
        <v>11</v>
      </c>
      <c r="D8" s="19" t="s">
        <v>8</v>
      </c>
      <c r="E8" s="23">
        <v>48</v>
      </c>
      <c r="F8" s="23">
        <v>75</v>
      </c>
      <c r="G8" s="31" t="str">
        <f>_xlfn.XLOOKUP(C8,'Lookup  Sheet'!$A$2:$A$5,'Lookup  Sheet'!$C$2:$C$5,"not Found")</f>
        <v>Technology</v>
      </c>
      <c r="H8" s="32">
        <f t="shared" si="0"/>
        <v>0</v>
      </c>
    </row>
    <row r="9" spans="1:11" x14ac:dyDescent="0.25">
      <c r="A9" s="16">
        <v>8</v>
      </c>
      <c r="B9" s="20" t="s">
        <v>14</v>
      </c>
      <c r="C9" s="20" t="s">
        <v>12</v>
      </c>
      <c r="D9" s="20" t="s">
        <v>10</v>
      </c>
      <c r="E9" s="24">
        <v>68</v>
      </c>
      <c r="F9" s="24">
        <v>88</v>
      </c>
      <c r="G9" s="33" t="str">
        <f>_xlfn.XLOOKUP(C9,'Lookup  Sheet'!$A$2:$A$5,'Lookup  Sheet'!$C$2:$C$5,"not Found")</f>
        <v>Technology</v>
      </c>
      <c r="H9" s="34">
        <f t="shared" si="0"/>
        <v>1</v>
      </c>
    </row>
    <row r="10" spans="1:11" x14ac:dyDescent="0.25">
      <c r="A10" s="15">
        <v>9</v>
      </c>
      <c r="B10" s="19" t="s">
        <v>15</v>
      </c>
      <c r="C10" s="19" t="s">
        <v>7</v>
      </c>
      <c r="D10" s="19" t="s">
        <v>13</v>
      </c>
      <c r="E10" s="23">
        <v>90</v>
      </c>
      <c r="F10" s="23">
        <v>98</v>
      </c>
      <c r="G10" s="31" t="str">
        <f>_xlfn.XLOOKUP(C10,'Lookup  Sheet'!$A$2:$A$5,'Lookup  Sheet'!$C$2:$C$5,"not Found")</f>
        <v>Business</v>
      </c>
      <c r="H10" s="32">
        <f t="shared" si="0"/>
        <v>1</v>
      </c>
    </row>
    <row r="11" spans="1:11" x14ac:dyDescent="0.25">
      <c r="A11" s="16">
        <v>10</v>
      </c>
      <c r="B11" s="20" t="s">
        <v>15</v>
      </c>
      <c r="C11" s="20" t="s">
        <v>9</v>
      </c>
      <c r="D11" s="20" t="s">
        <v>8</v>
      </c>
      <c r="E11" s="24">
        <v>60</v>
      </c>
      <c r="F11" s="24">
        <v>82</v>
      </c>
      <c r="G11" s="33" t="str">
        <f>_xlfn.XLOOKUP(C11,'Lookup  Sheet'!$A$2:$A$5,'Lookup  Sheet'!$C$2:$C$5,"not Found")</f>
        <v>Business</v>
      </c>
      <c r="H11" s="34">
        <f t="shared" si="0"/>
        <v>1</v>
      </c>
    </row>
    <row r="12" spans="1:11" x14ac:dyDescent="0.25">
      <c r="A12" s="15">
        <v>11</v>
      </c>
      <c r="B12" s="19" t="s">
        <v>15</v>
      </c>
      <c r="C12" s="19" t="s">
        <v>11</v>
      </c>
      <c r="D12" s="19" t="s">
        <v>10</v>
      </c>
      <c r="E12" s="23">
        <v>75</v>
      </c>
      <c r="F12" s="23">
        <v>92</v>
      </c>
      <c r="G12" s="31" t="str">
        <f>_xlfn.XLOOKUP(C12,'Lookup  Sheet'!$A$2:$A$5,'Lookup  Sheet'!$C$2:$C$5,"not Found")</f>
        <v>Technology</v>
      </c>
      <c r="H12" s="32">
        <f t="shared" si="0"/>
        <v>1</v>
      </c>
    </row>
    <row r="13" spans="1:11" x14ac:dyDescent="0.25">
      <c r="A13" s="27">
        <v>12</v>
      </c>
      <c r="B13" s="28" t="s">
        <v>15</v>
      </c>
      <c r="C13" s="28" t="s">
        <v>12</v>
      </c>
      <c r="D13" s="28" t="s">
        <v>13</v>
      </c>
      <c r="E13" s="29">
        <v>42</v>
      </c>
      <c r="F13" s="29">
        <v>65</v>
      </c>
      <c r="G13" s="35" t="str">
        <f>_xlfn.XLOOKUP(C13,'Lookup  Sheet'!$A$2:$A$5,'Lookup  Sheet'!$C$2:$C$5,"not Found")</f>
        <v>Technology</v>
      </c>
      <c r="H13" s="36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DC69-2AE4-4E74-8DB4-619C67D6340A}">
  <dimension ref="A1:I5"/>
  <sheetViews>
    <sheetView tabSelected="1" workbookViewId="0">
      <selection activeCell="L28" sqref="L28"/>
    </sheetView>
  </sheetViews>
  <sheetFormatPr defaultRowHeight="15" x14ac:dyDescent="0.25"/>
  <cols>
    <col min="2" max="2" width="12.42578125" customWidth="1"/>
    <col min="5" max="5" width="15.85546875" bestFit="1" customWidth="1"/>
    <col min="6" max="6" width="16.28515625" bestFit="1" customWidth="1"/>
    <col min="7" max="7" width="4.28515625" bestFit="1" customWidth="1"/>
    <col min="8" max="8" width="4.5703125" bestFit="1" customWidth="1"/>
    <col min="9" max="9" width="11.28515625" bestFit="1" customWidth="1"/>
  </cols>
  <sheetData>
    <row r="1" spans="1:9" x14ac:dyDescent="0.25">
      <c r="A1" s="25" t="s">
        <v>3</v>
      </c>
      <c r="B1" s="13" t="s">
        <v>29</v>
      </c>
      <c r="E1" s="37" t="s">
        <v>33</v>
      </c>
      <c r="F1" s="37" t="s">
        <v>32</v>
      </c>
    </row>
    <row r="2" spans="1:9" x14ac:dyDescent="0.25">
      <c r="A2" s="19" t="s">
        <v>8</v>
      </c>
      <c r="B2" s="8">
        <f>COUNTIFS('Clean  Sheet'!$D$2:$D$13,'Summary sheet'!A2,'Clean  Sheet'!$H$2:$H$13,1)</f>
        <v>3</v>
      </c>
      <c r="E2" s="37" t="s">
        <v>30</v>
      </c>
      <c r="F2" t="s">
        <v>6</v>
      </c>
      <c r="G2" t="s">
        <v>14</v>
      </c>
      <c r="H2" t="s">
        <v>15</v>
      </c>
      <c r="I2" t="s">
        <v>31</v>
      </c>
    </row>
    <row r="3" spans="1:9" x14ac:dyDescent="0.25">
      <c r="A3" s="20" t="s">
        <v>10</v>
      </c>
      <c r="B3" s="11">
        <f>COUNTIFS('Clean  Sheet'!$D$2:$D$13,'Summary sheet'!A3,'Clean  Sheet'!$H$2:$H$13,1)</f>
        <v>3</v>
      </c>
      <c r="E3" s="38" t="s">
        <v>19</v>
      </c>
      <c r="F3" s="17">
        <v>58.5</v>
      </c>
      <c r="G3" s="17">
        <v>67.5</v>
      </c>
      <c r="H3" s="17">
        <v>75</v>
      </c>
      <c r="I3" s="17">
        <v>67</v>
      </c>
    </row>
    <row r="4" spans="1:9" x14ac:dyDescent="0.25">
      <c r="A4" s="19" t="s">
        <v>13</v>
      </c>
      <c r="B4" s="8">
        <f>COUNTIFS('Clean  Sheet'!$D$2:$D$13,'Summary sheet'!A4,'Clean  Sheet'!$H$2:$H$13,1)</f>
        <v>2</v>
      </c>
      <c r="E4" s="38" t="s">
        <v>22</v>
      </c>
      <c r="F4" s="17">
        <v>51.5</v>
      </c>
      <c r="G4" s="17">
        <v>58</v>
      </c>
      <c r="H4" s="17">
        <v>58.5</v>
      </c>
      <c r="I4" s="17">
        <v>56</v>
      </c>
    </row>
    <row r="5" spans="1:9" x14ac:dyDescent="0.25">
      <c r="E5" s="38" t="s">
        <v>31</v>
      </c>
      <c r="F5" s="17">
        <v>55</v>
      </c>
      <c r="G5" s="17">
        <v>62.75</v>
      </c>
      <c r="H5" s="17">
        <v>66.75</v>
      </c>
      <c r="I5" s="17">
        <v>61.5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sheet</vt:lpstr>
      <vt:lpstr>Lookup  Sheet</vt:lpstr>
      <vt:lpstr>Clean  Sheet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Makwana</dc:creator>
  <cp:lastModifiedBy>Mayur Makwana</cp:lastModifiedBy>
  <dcterms:created xsi:type="dcterms:W3CDTF">2026-10-10T05:10:17Z</dcterms:created>
  <dcterms:modified xsi:type="dcterms:W3CDTF">2026-10-10T05:28:43Z</dcterms:modified>
</cp:coreProperties>
</file>